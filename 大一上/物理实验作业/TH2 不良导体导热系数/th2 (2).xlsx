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81DBCE3-10E1-4E90-97B8-E9DC2CD21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1" l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14" i="1"/>
  <c r="H14" i="1"/>
</calcChain>
</file>

<file path=xl/sharedStrings.xml><?xml version="1.0" encoding="utf-8"?>
<sst xmlns="http://schemas.openxmlformats.org/spreadsheetml/2006/main" count="6" uniqueCount="3">
  <si>
    <t>t</t>
    <phoneticPr fontId="1" type="noConversion"/>
  </si>
  <si>
    <t>▲T</t>
    <phoneticPr fontId="1" type="noConversion"/>
  </si>
  <si>
    <t>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</si>
</sst>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加热电压为</a:t>
            </a:r>
            <a:r>
              <a:rPr lang="en-US" altLang="zh-CN"/>
              <a:t>19.00v</a:t>
            </a:r>
            <a:r>
              <a:rPr lang="zh-CN" altLang="en-US"/>
              <a:t>时▲</a:t>
            </a:r>
            <a:r>
              <a:rPr lang="en-US" altLang="zh-CN"/>
              <a:t>T</a:t>
            </a:r>
            <a:r>
              <a:rPr lang="zh-CN" altLang="en-US"/>
              <a:t>与</a:t>
            </a:r>
            <a:r>
              <a:rPr lang="en-US" altLang="zh-CN"/>
              <a:t>Tc</a:t>
            </a:r>
            <a:r>
              <a:rPr lang="zh-CN" altLang="en-US"/>
              <a:t>关于</a:t>
            </a:r>
            <a:r>
              <a:rPr lang="en-US" altLang="zh-CN"/>
              <a:t>t</a:t>
            </a:r>
            <a:r>
              <a:rPr lang="zh-CN" altLang="en-US"/>
              <a:t>的变化曲线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Sheet1!$G$31</c:f>
              <c:strCache>
                <c:ptCount val="1"/>
                <c:pt idx="0">
                  <c:v>▲T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Sheet1!$F$32:$F$46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Sheet1!$G$32:$G$46</c:f>
              <c:numCache>
                <c:formatCode>General</c:formatCode>
                <c:ptCount val="15"/>
                <c:pt idx="0">
                  <c:v>3.85</c:v>
                </c:pt>
                <c:pt idx="1">
                  <c:v>4.6499999999999995</c:v>
                </c:pt>
                <c:pt idx="2">
                  <c:v>5.0250000000000004</c:v>
                </c:pt>
                <c:pt idx="3">
                  <c:v>5.3250000000000002</c:v>
                </c:pt>
                <c:pt idx="4">
                  <c:v>5.5</c:v>
                </c:pt>
                <c:pt idx="5">
                  <c:v>5.6</c:v>
                </c:pt>
                <c:pt idx="6">
                  <c:v>5.625</c:v>
                </c:pt>
                <c:pt idx="7">
                  <c:v>5.625</c:v>
                </c:pt>
                <c:pt idx="8">
                  <c:v>5.625</c:v>
                </c:pt>
                <c:pt idx="9">
                  <c:v>5.6</c:v>
                </c:pt>
                <c:pt idx="10">
                  <c:v>5.625</c:v>
                </c:pt>
                <c:pt idx="11">
                  <c:v>5.6</c:v>
                </c:pt>
                <c:pt idx="12">
                  <c:v>5.625</c:v>
                </c:pt>
                <c:pt idx="13">
                  <c:v>5.625</c:v>
                </c:pt>
                <c:pt idx="14">
                  <c:v>5.625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6-4894-8B21-78B70C213C24}"/>
            </c:ext>
          </c:extLst>
        </c:ser>
        <c:ser>
          <c:idx val="1"/>
          <c:order val="1"/>
          <c:tx>
            <c:strRef>
              <c:f>Sheet1!$H$31</c:f>
              <c:strCache>
                <c:ptCount val="1"/>
                <c:pt idx="0">
                  <c:v>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Sheet1!$F$32:$F$46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Sheet1!$H$32:$H$46</c:f>
              <c:numCache>
                <c:formatCode>General</c:formatCode>
                <c:ptCount val="15"/>
                <c:pt idx="0">
                  <c:v>30.05</c:v>
                </c:pt>
                <c:pt idx="1">
                  <c:v>30.274999999999999</c:v>
                </c:pt>
                <c:pt idx="2">
                  <c:v>30.6</c:v>
                </c:pt>
                <c:pt idx="3">
                  <c:v>31.125</c:v>
                </c:pt>
                <c:pt idx="4">
                  <c:v>31.65</c:v>
                </c:pt>
                <c:pt idx="5">
                  <c:v>32.225000000000001</c:v>
                </c:pt>
                <c:pt idx="6">
                  <c:v>32.799999999999997</c:v>
                </c:pt>
                <c:pt idx="7">
                  <c:v>33.450000000000003</c:v>
                </c:pt>
                <c:pt idx="8">
                  <c:v>34.075000000000003</c:v>
                </c:pt>
                <c:pt idx="9">
                  <c:v>34.674999999999997</c:v>
                </c:pt>
                <c:pt idx="10">
                  <c:v>35.299999999999997</c:v>
                </c:pt>
                <c:pt idx="11">
                  <c:v>35.9</c:v>
                </c:pt>
                <c:pt idx="12">
                  <c:v>36.475000000000001</c:v>
                </c:pt>
                <c:pt idx="13">
                  <c:v>37.075000000000003</c:v>
                </c:pt>
                <c:pt idx="14">
                  <c:v>37.725000000000001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6-4894-8B21-78B70C21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839535"/>
        <c:axId val="1094375487"/>
      </c:lineChart>
      <c:catAx>
        <c:axId val="111283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加热时间</a:t>
                </a:r>
                <a:r>
                  <a:rPr lang="en-US" altLang="zh-CN"/>
                  <a:t>t/s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4375487"/>
        <c:crosses val="autoZero"/>
        <c:auto val="1"/>
        <c:lblAlgn val="ctr"/>
        <c:lblOffset val="100"/>
        <c:noMultiLvlLbl val="0"/>
      </c:catAx>
      <c:valAx>
        <c:axId val="10943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温度</a:t>
                </a:r>
                <a:r>
                  <a:rPr lang="en-US" altLang="zh-CN"/>
                  <a:t>/°C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28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加热电压为</a:t>
            </a:r>
            <a:r>
              <a:rPr lang="en-US" altLang="zh-CN"/>
              <a:t>16V</a:t>
            </a:r>
            <a:r>
              <a:rPr lang="zh-CN" altLang="en-US"/>
              <a:t>时▲</a:t>
            </a:r>
            <a:r>
              <a:rPr lang="en-US" altLang="zh-CN"/>
              <a:t>T</a:t>
            </a:r>
            <a:r>
              <a:rPr lang="zh-CN" altLang="en-US"/>
              <a:t>与</a:t>
            </a:r>
            <a:r>
              <a:rPr lang="en-US" altLang="zh-CN"/>
              <a:t>Tc</a:t>
            </a:r>
            <a:r>
              <a:rPr lang="zh-CN" altLang="en-US"/>
              <a:t>关于</a:t>
            </a:r>
            <a:r>
              <a:rPr lang="en-US" altLang="zh-CN"/>
              <a:t>t</a:t>
            </a:r>
            <a:r>
              <a:rPr lang="zh-CN" altLang="en-US"/>
              <a:t>的变化曲线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Sheet1!$H$13</c:f>
              <c:strCache>
                <c:ptCount val="1"/>
                <c:pt idx="0">
                  <c:v>▲T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Sheet1!$G$14:$G$28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Sheet1!$H$14:$H$28</c:f>
              <c:numCache>
                <c:formatCode>General</c:formatCode>
                <c:ptCount val="15"/>
                <c:pt idx="0">
                  <c:v>2.1749999999999998</c:v>
                </c:pt>
                <c:pt idx="1">
                  <c:v>2.875</c:v>
                </c:pt>
                <c:pt idx="2">
                  <c:v>3.25</c:v>
                </c:pt>
                <c:pt idx="3">
                  <c:v>3.4250000000000003</c:v>
                </c:pt>
                <c:pt idx="4">
                  <c:v>3.5249999999999995</c:v>
                </c:pt>
                <c:pt idx="5">
                  <c:v>3.5749999999999997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3.6249999999999996</c:v>
                </c:pt>
                <c:pt idx="9">
                  <c:v>3.6249999999999996</c:v>
                </c:pt>
                <c:pt idx="10">
                  <c:v>3.6249999999999996</c:v>
                </c:pt>
                <c:pt idx="11">
                  <c:v>3.6249999999999996</c:v>
                </c:pt>
                <c:pt idx="12">
                  <c:v>3.6249999999999996</c:v>
                </c:pt>
                <c:pt idx="13">
                  <c:v>3.6249999999999996</c:v>
                </c:pt>
                <c:pt idx="14">
                  <c:v>3.6249999999999996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7-4E03-9227-9F608E3F64AC}"/>
            </c:ext>
          </c:extLst>
        </c:ser>
        <c:ser>
          <c:idx val="1"/>
          <c:order val="1"/>
          <c:tx>
            <c:strRef>
              <c:f>Sheet1!$I$13</c:f>
              <c:strCache>
                <c:ptCount val="1"/>
                <c:pt idx="0">
                  <c:v>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Sheet1!$G$14:$G$28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Sheet1!$I$14:$I$28</c:f>
              <c:numCache>
                <c:formatCode>General</c:formatCode>
                <c:ptCount val="15"/>
                <c:pt idx="0">
                  <c:v>27.425000000000001</c:v>
                </c:pt>
                <c:pt idx="1">
                  <c:v>27.625</c:v>
                </c:pt>
                <c:pt idx="2">
                  <c:v>27.95</c:v>
                </c:pt>
                <c:pt idx="3">
                  <c:v>28.35</c:v>
                </c:pt>
                <c:pt idx="4">
                  <c:v>28.8</c:v>
                </c:pt>
                <c:pt idx="5">
                  <c:v>29.25</c:v>
                </c:pt>
                <c:pt idx="6">
                  <c:v>29.7</c:v>
                </c:pt>
                <c:pt idx="7">
                  <c:v>30.15</c:v>
                </c:pt>
                <c:pt idx="8">
                  <c:v>30.625</c:v>
                </c:pt>
                <c:pt idx="9">
                  <c:v>31.074999999999999</c:v>
                </c:pt>
                <c:pt idx="10">
                  <c:v>31.524999999999999</c:v>
                </c:pt>
                <c:pt idx="11">
                  <c:v>31.95</c:v>
                </c:pt>
                <c:pt idx="12">
                  <c:v>32.375</c:v>
                </c:pt>
                <c:pt idx="13">
                  <c:v>32.799999999999997</c:v>
                </c:pt>
                <c:pt idx="14">
                  <c:v>33.225000000000001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7-4E03-9227-9F608E3F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426783"/>
        <c:axId val="1212424703"/>
      </c:lineChart>
      <c:catAx>
        <c:axId val="121242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加热时间</a:t>
                </a:r>
                <a:r>
                  <a:rPr lang="en-US" altLang="zh-CN"/>
                  <a:t>t/s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2424703"/>
        <c:crosses val="autoZero"/>
        <c:auto val="1"/>
        <c:lblAlgn val="ctr"/>
        <c:lblOffset val="100"/>
        <c:noMultiLvlLbl val="0"/>
      </c:catAx>
      <c:valAx>
        <c:axId val="12124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温度</a:t>
                </a:r>
                <a:r>
                  <a:rPr lang="en-US" altLang="zh-CN"/>
                  <a:t>/°C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24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29</xdr:row>
      <xdr:rowOff>121920</xdr:rowOff>
    </xdr:from>
    <xdr:to>
      <xdr:col>17</xdr:col>
      <xdr:colOff>381000</xdr:colOff>
      <xdr:row>45</xdr:row>
      <xdr:rowOff>60960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54A13CD-0470-303F-C624-31690AB39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396240</xdr:colOff>
      <xdr:row>8</xdr:row>
      <xdr:rowOff>160020</xdr:rowOff>
    </xdr:from>
    <xdr:to>
      <xdr:col>18</xdr:col>
      <xdr:colOff>91440</xdr:colOff>
      <xdr:row>24</xdr:row>
      <xdr:rowOff>99060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D180144-EA9B-996C-5EB1-73A1D659F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F10" workbookViewId="0">
      <selection activeCell="W19" sqref="W19"/>
    </sheetView>
  </sheetViews>
  <sheetFormatPr defaultRowHeight="13.8" x14ac:dyDescent="0.25"/>
  <sheetData>
    <row r="1" spans="1:9" x14ac:dyDescent="0.25">
      <c r="A1">
        <v>8.6999999999999994E-2</v>
      </c>
      <c r="B1">
        <v>5.7000000000000002E-2</v>
      </c>
    </row>
    <row r="2" spans="1:9" x14ac:dyDescent="0.25">
      <c r="A2">
        <v>0.115</v>
      </c>
      <c r="B2">
        <v>6.5000000000000002E-2</v>
      </c>
    </row>
    <row r="3" spans="1:9" x14ac:dyDescent="0.25">
      <c r="A3">
        <v>0.13</v>
      </c>
      <c r="B3">
        <v>7.8E-2</v>
      </c>
    </row>
    <row r="4" spans="1:9" x14ac:dyDescent="0.25">
      <c r="A4">
        <v>0.13700000000000001</v>
      </c>
      <c r="B4">
        <v>9.4E-2</v>
      </c>
    </row>
    <row r="5" spans="1:9" x14ac:dyDescent="0.25">
      <c r="A5">
        <v>0.14099999999999999</v>
      </c>
      <c r="B5">
        <v>0.112</v>
      </c>
    </row>
    <row r="6" spans="1:9" x14ac:dyDescent="0.25">
      <c r="A6">
        <v>0.14299999999999999</v>
      </c>
      <c r="B6">
        <v>0.13</v>
      </c>
    </row>
    <row r="7" spans="1:9" x14ac:dyDescent="0.25">
      <c r="A7">
        <v>0.14399999999999999</v>
      </c>
      <c r="B7">
        <v>0.14799999999999999</v>
      </c>
    </row>
    <row r="8" spans="1:9" x14ac:dyDescent="0.25">
      <c r="A8">
        <v>0.14399999999999999</v>
      </c>
      <c r="B8">
        <v>0.16600000000000001</v>
      </c>
    </row>
    <row r="9" spans="1:9" x14ac:dyDescent="0.25">
      <c r="A9">
        <v>0.14499999999999999</v>
      </c>
      <c r="B9">
        <v>0.185</v>
      </c>
    </row>
    <row r="10" spans="1:9" x14ac:dyDescent="0.25">
      <c r="A10">
        <v>0.14499999999999999</v>
      </c>
      <c r="B10">
        <v>0.20300000000000001</v>
      </c>
    </row>
    <row r="11" spans="1:9" x14ac:dyDescent="0.25">
      <c r="A11">
        <v>0.14499999999999999</v>
      </c>
      <c r="B11">
        <v>0.221</v>
      </c>
    </row>
    <row r="12" spans="1:9" x14ac:dyDescent="0.25">
      <c r="A12">
        <v>0.14499999999999999</v>
      </c>
      <c r="B12">
        <v>0.23799999999999999</v>
      </c>
    </row>
    <row r="13" spans="1:9" x14ac:dyDescent="0.25">
      <c r="A13">
        <v>0.14499999999999999</v>
      </c>
      <c r="B13">
        <v>0.255</v>
      </c>
      <c r="G13" t="s">
        <v>0</v>
      </c>
      <c r="H13" t="s">
        <v>1</v>
      </c>
      <c r="I13" t="s">
        <v>2</v>
      </c>
    </row>
    <row r="14" spans="1:9" x14ac:dyDescent="0.25">
      <c r="A14">
        <v>0.14499999999999999</v>
      </c>
      <c r="B14">
        <v>0.27200000000000002</v>
      </c>
      <c r="G14">
        <v>60</v>
      </c>
      <c r="H14">
        <f>A1/0.04</f>
        <v>2.1749999999999998</v>
      </c>
      <c r="I14">
        <f>B1/0.04+26</f>
        <v>27.425000000000001</v>
      </c>
    </row>
    <row r="15" spans="1:9" x14ac:dyDescent="0.25">
      <c r="A15">
        <v>0.14499999999999999</v>
      </c>
      <c r="B15">
        <v>0.28899999999999998</v>
      </c>
      <c r="G15">
        <v>120</v>
      </c>
      <c r="H15">
        <f>A2/0.04</f>
        <v>2.875</v>
      </c>
      <c r="I15">
        <f>B2/0.04+26</f>
        <v>27.625</v>
      </c>
    </row>
    <row r="16" spans="1:9" x14ac:dyDescent="0.25">
      <c r="G16">
        <v>180</v>
      </c>
      <c r="H16">
        <f>A3/0.04</f>
        <v>3.25</v>
      </c>
      <c r="I16">
        <f>B3/0.04+26</f>
        <v>27.95</v>
      </c>
    </row>
    <row r="17" spans="1:9" x14ac:dyDescent="0.25">
      <c r="A17">
        <v>0.154</v>
      </c>
      <c r="B17">
        <v>0.16200000000000001</v>
      </c>
      <c r="G17">
        <v>240</v>
      </c>
      <c r="H17">
        <f>A4/0.04</f>
        <v>3.4250000000000003</v>
      </c>
      <c r="I17">
        <f>B4/0.04+26</f>
        <v>28.35</v>
      </c>
    </row>
    <row r="18" spans="1:9" x14ac:dyDescent="0.25">
      <c r="A18">
        <v>0.186</v>
      </c>
      <c r="B18">
        <v>0.17100000000000001</v>
      </c>
      <c r="G18">
        <v>300</v>
      </c>
      <c r="H18">
        <f>A5/0.04</f>
        <v>3.5249999999999995</v>
      </c>
      <c r="I18">
        <f>B5/0.04+26</f>
        <v>28.8</v>
      </c>
    </row>
    <row r="19" spans="1:9" x14ac:dyDescent="0.25">
      <c r="A19">
        <v>0.20100000000000001</v>
      </c>
      <c r="B19">
        <v>0.184</v>
      </c>
      <c r="G19">
        <v>360</v>
      </c>
      <c r="H19">
        <f>A6/0.04</f>
        <v>3.5749999999999997</v>
      </c>
      <c r="I19">
        <f>B6/0.04+26</f>
        <v>29.25</v>
      </c>
    </row>
    <row r="20" spans="1:9" x14ac:dyDescent="0.25">
      <c r="A20">
        <v>0.21299999999999999</v>
      </c>
      <c r="B20">
        <v>0.20499999999999999</v>
      </c>
      <c r="G20">
        <v>420</v>
      </c>
      <c r="H20">
        <f>A7/0.04</f>
        <v>3.5999999999999996</v>
      </c>
      <c r="I20">
        <f>B7/0.04+26</f>
        <v>29.7</v>
      </c>
    </row>
    <row r="21" spans="1:9" x14ac:dyDescent="0.25">
      <c r="A21">
        <v>0.22</v>
      </c>
      <c r="B21">
        <v>0.22600000000000001</v>
      </c>
      <c r="G21">
        <v>480</v>
      </c>
      <c r="H21">
        <f>A8/0.04</f>
        <v>3.5999999999999996</v>
      </c>
      <c r="I21">
        <f>B8/0.04+26</f>
        <v>30.15</v>
      </c>
    </row>
    <row r="22" spans="1:9" x14ac:dyDescent="0.25">
      <c r="A22">
        <v>0.224</v>
      </c>
      <c r="B22">
        <v>0.249</v>
      </c>
      <c r="G22">
        <v>540</v>
      </c>
      <c r="H22">
        <f>A9/0.04</f>
        <v>3.6249999999999996</v>
      </c>
      <c r="I22">
        <f>B9/0.04+26</f>
        <v>30.625</v>
      </c>
    </row>
    <row r="23" spans="1:9" x14ac:dyDescent="0.25">
      <c r="A23">
        <v>0.22500000000000001</v>
      </c>
      <c r="B23">
        <v>0.27200000000000002</v>
      </c>
      <c r="G23">
        <v>600</v>
      </c>
      <c r="H23">
        <f>A10/0.04</f>
        <v>3.6249999999999996</v>
      </c>
      <c r="I23">
        <f>B10/0.04+26</f>
        <v>31.074999999999999</v>
      </c>
    </row>
    <row r="24" spans="1:9" x14ac:dyDescent="0.25">
      <c r="A24">
        <v>0.22500000000000001</v>
      </c>
      <c r="B24">
        <v>0.29799999999999999</v>
      </c>
      <c r="G24">
        <v>660</v>
      </c>
      <c r="H24">
        <f>A11/0.04</f>
        <v>3.6249999999999996</v>
      </c>
      <c r="I24">
        <f>B11/0.04+26</f>
        <v>31.524999999999999</v>
      </c>
    </row>
    <row r="25" spans="1:9" x14ac:dyDescent="0.25">
      <c r="A25">
        <v>0.22500000000000001</v>
      </c>
      <c r="B25">
        <v>0.32300000000000001</v>
      </c>
      <c r="G25">
        <v>720</v>
      </c>
      <c r="H25">
        <f>A12/0.04</f>
        <v>3.6249999999999996</v>
      </c>
      <c r="I25">
        <f>B12/0.04+26</f>
        <v>31.95</v>
      </c>
    </row>
    <row r="26" spans="1:9" x14ac:dyDescent="0.25">
      <c r="A26">
        <v>0.224</v>
      </c>
      <c r="B26">
        <v>0.34699999999999998</v>
      </c>
      <c r="G26">
        <v>780</v>
      </c>
      <c r="H26">
        <f>A13/0.04</f>
        <v>3.6249999999999996</v>
      </c>
      <c r="I26">
        <f>B13/0.04+26</f>
        <v>32.375</v>
      </c>
    </row>
    <row r="27" spans="1:9" x14ac:dyDescent="0.25">
      <c r="A27">
        <v>0.22500000000000001</v>
      </c>
      <c r="B27">
        <v>0.372</v>
      </c>
      <c r="G27">
        <v>840</v>
      </c>
      <c r="H27">
        <f>A14/0.04</f>
        <v>3.6249999999999996</v>
      </c>
      <c r="I27">
        <f>B14/0.04+26</f>
        <v>32.799999999999997</v>
      </c>
    </row>
    <row r="28" spans="1:9" x14ac:dyDescent="0.25">
      <c r="A28">
        <v>0.224</v>
      </c>
      <c r="B28">
        <v>0.39600000000000002</v>
      </c>
      <c r="G28">
        <v>900</v>
      </c>
      <c r="H28">
        <f>A15/0.04</f>
        <v>3.6249999999999996</v>
      </c>
      <c r="I28">
        <f>B15/0.04+26</f>
        <v>33.225000000000001</v>
      </c>
    </row>
    <row r="29" spans="1:9" x14ac:dyDescent="0.25">
      <c r="A29">
        <v>0.22500000000000001</v>
      </c>
      <c r="B29">
        <v>0.41899999999999998</v>
      </c>
    </row>
    <row r="30" spans="1:9" x14ac:dyDescent="0.25">
      <c r="A30">
        <v>0.22500000000000001</v>
      </c>
      <c r="B30">
        <v>0.443</v>
      </c>
    </row>
    <row r="31" spans="1:9" x14ac:dyDescent="0.25">
      <c r="A31">
        <v>0.22500000000000001</v>
      </c>
      <c r="B31">
        <v>0.46899999999999997</v>
      </c>
      <c r="F31" t="s">
        <v>0</v>
      </c>
      <c r="G31" t="s">
        <v>1</v>
      </c>
      <c r="H31" t="s">
        <v>2</v>
      </c>
    </row>
    <row r="32" spans="1:9" x14ac:dyDescent="0.25">
      <c r="F32">
        <v>60</v>
      </c>
      <c r="G32">
        <f>A17/0.04</f>
        <v>3.85</v>
      </c>
      <c r="H32">
        <f>B17/0.04+26</f>
        <v>30.05</v>
      </c>
    </row>
    <row r="33" spans="6:8" x14ac:dyDescent="0.25">
      <c r="F33">
        <v>120</v>
      </c>
      <c r="G33">
        <f>A18/0.04</f>
        <v>4.6499999999999995</v>
      </c>
      <c r="H33">
        <f>B18/0.04+26</f>
        <v>30.274999999999999</v>
      </c>
    </row>
    <row r="34" spans="6:8" x14ac:dyDescent="0.25">
      <c r="F34">
        <v>180</v>
      </c>
      <c r="G34">
        <f>A19/0.04</f>
        <v>5.0250000000000004</v>
      </c>
      <c r="H34">
        <f>B19/0.04+26</f>
        <v>30.6</v>
      </c>
    </row>
    <row r="35" spans="6:8" x14ac:dyDescent="0.25">
      <c r="F35">
        <v>240</v>
      </c>
      <c r="G35">
        <f>A20/0.04</f>
        <v>5.3250000000000002</v>
      </c>
      <c r="H35">
        <f>B20/0.04+26</f>
        <v>31.125</v>
      </c>
    </row>
    <row r="36" spans="6:8" x14ac:dyDescent="0.25">
      <c r="F36">
        <v>300</v>
      </c>
      <c r="G36">
        <f>A21/0.04</f>
        <v>5.5</v>
      </c>
      <c r="H36">
        <f>B21/0.04+26</f>
        <v>31.65</v>
      </c>
    </row>
    <row r="37" spans="6:8" x14ac:dyDescent="0.25">
      <c r="F37">
        <v>360</v>
      </c>
      <c r="G37">
        <f>A22/0.04</f>
        <v>5.6</v>
      </c>
      <c r="H37">
        <f>B22/0.04+26</f>
        <v>32.225000000000001</v>
      </c>
    </row>
    <row r="38" spans="6:8" x14ac:dyDescent="0.25">
      <c r="F38">
        <v>420</v>
      </c>
      <c r="G38">
        <f>A23/0.04</f>
        <v>5.625</v>
      </c>
      <c r="H38">
        <f>B23/0.04+26</f>
        <v>32.799999999999997</v>
      </c>
    </row>
    <row r="39" spans="6:8" x14ac:dyDescent="0.25">
      <c r="F39">
        <v>480</v>
      </c>
      <c r="G39">
        <f>A24/0.04</f>
        <v>5.625</v>
      </c>
      <c r="H39">
        <f>B24/0.04+26</f>
        <v>33.450000000000003</v>
      </c>
    </row>
    <row r="40" spans="6:8" x14ac:dyDescent="0.25">
      <c r="F40">
        <v>540</v>
      </c>
      <c r="G40">
        <f>A25/0.04</f>
        <v>5.625</v>
      </c>
      <c r="H40">
        <f>B25/0.04+26</f>
        <v>34.075000000000003</v>
      </c>
    </row>
    <row r="41" spans="6:8" x14ac:dyDescent="0.25">
      <c r="F41">
        <v>600</v>
      </c>
      <c r="G41">
        <f>A26/0.04</f>
        <v>5.6</v>
      </c>
      <c r="H41">
        <f>B26/0.04+26</f>
        <v>34.674999999999997</v>
      </c>
    </row>
    <row r="42" spans="6:8" x14ac:dyDescent="0.25">
      <c r="F42">
        <v>660</v>
      </c>
      <c r="G42">
        <f>A27/0.04</f>
        <v>5.625</v>
      </c>
      <c r="H42">
        <f>B27/0.04+26</f>
        <v>35.299999999999997</v>
      </c>
    </row>
    <row r="43" spans="6:8" x14ac:dyDescent="0.25">
      <c r="F43">
        <v>720</v>
      </c>
      <c r="G43">
        <f>A28/0.04</f>
        <v>5.6</v>
      </c>
      <c r="H43">
        <f>B28/0.04+26</f>
        <v>35.9</v>
      </c>
    </row>
    <row r="44" spans="6:8" x14ac:dyDescent="0.25">
      <c r="F44">
        <v>780</v>
      </c>
      <c r="G44">
        <f>A29/0.04</f>
        <v>5.625</v>
      </c>
      <c r="H44">
        <f>B29/0.04+26</f>
        <v>36.475000000000001</v>
      </c>
    </row>
    <row r="45" spans="6:8" x14ac:dyDescent="0.25">
      <c r="F45">
        <v>840</v>
      </c>
      <c r="G45">
        <f>A30/0.04</f>
        <v>5.625</v>
      </c>
      <c r="H45">
        <f>B30/0.04+26</f>
        <v>37.075000000000003</v>
      </c>
    </row>
    <row r="46" spans="6:8" x14ac:dyDescent="0.25">
      <c r="F46">
        <v>900</v>
      </c>
      <c r="G46">
        <f>A31/0.04</f>
        <v>5.625</v>
      </c>
      <c r="H46">
        <f>B31/0.04+26</f>
        <v>37.725000000000001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2022-06-01T14:46:07Z</dcterms:modified>
</cp:coreProperties>
</file>