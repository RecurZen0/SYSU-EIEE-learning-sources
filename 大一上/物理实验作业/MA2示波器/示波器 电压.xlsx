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Desktop\物理作业\示波器\"/>
    </mc:Choice>
  </mc:AlternateContent>
  <xr:revisionPtr revIDLastSave="0" documentId="13_ncr:1_{B27EF387-74D5-464D-8866-EA5AAC8027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  <c r="E3" i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<sst xmlns="http://schemas.openxmlformats.org/spreadsheetml/2006/main" count="6" uniqueCount="6">
  <si>
    <t>频率（Hz）</t>
    <phoneticPr fontId="1" type="noConversion"/>
  </si>
  <si>
    <t>U'(V)</t>
    <phoneticPr fontId="1" type="noConversion"/>
  </si>
  <si>
    <t>U''</t>
    <phoneticPr fontId="1" type="noConversion"/>
  </si>
  <si>
    <t>Ueff</t>
    <phoneticPr fontId="1" type="noConversion"/>
  </si>
  <si>
    <t>lg（f） （Hz）</t>
    <phoneticPr fontId="1" type="noConversion"/>
  </si>
  <si>
    <t>带宽的电压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</si>
</sst>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U' ; U'' ; Ueff</a:t>
            </a:r>
            <a:r>
              <a:rPr lang="zh-CN"/>
              <a:t>与</a:t>
            </a:r>
            <a:r>
              <a:rPr lang="en-US"/>
              <a:t>f</a:t>
            </a:r>
            <a:r>
              <a:rPr lang="zh-CN"/>
              <a:t>的关系曲线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U'(V)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Sheet1!$E$2:$E$12</c:f>
              <c:numCache>
                <c:formatCode>General</c:formatCode>
                <c:ptCount val="11"/>
                <c:pt idx="0">
                  <c:v>2</c:v>
                </c:pt>
                <c:pt idx="1">
                  <c:v>2.4771212547196626</c:v>
                </c:pt>
                <c:pt idx="2">
                  <c:v>3</c:v>
                </c:pt>
                <c:pt idx="3">
                  <c:v>3.4771212547196626</c:v>
                </c:pt>
                <c:pt idx="4">
                  <c:v>4</c:v>
                </c:pt>
                <c:pt idx="5">
                  <c:v>4.4771212547196626</c:v>
                </c:pt>
                <c:pt idx="6">
                  <c:v>5</c:v>
                </c:pt>
                <c:pt idx="7">
                  <c:v>5.4771212547196626</c:v>
                </c:pt>
                <c:pt idx="8">
                  <c:v>6</c:v>
                </c:pt>
                <c:pt idx="9">
                  <c:v>6.4771212547196626</c:v>
                </c:pt>
                <c:pt idx="10">
                  <c:v>7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1.768</c:v>
                </c:pt>
                <c:pt idx="1">
                  <c:v>1.768</c:v>
                </c:pt>
                <c:pt idx="2">
                  <c:v>1.768</c:v>
                </c:pt>
                <c:pt idx="3">
                  <c:v>1.766</c:v>
                </c:pt>
                <c:pt idx="4">
                  <c:v>1.768</c:v>
                </c:pt>
                <c:pt idx="5">
                  <c:v>1.7709999999999999</c:v>
                </c:pt>
                <c:pt idx="6">
                  <c:v>1.788</c:v>
                </c:pt>
                <c:pt idx="7">
                  <c:v>1.772</c:v>
                </c:pt>
                <c:pt idx="8">
                  <c:v>1.244</c:v>
                </c:pt>
                <c:pt idx="9">
                  <c:v>0.29399999999999998</c:v>
                </c:pt>
                <c:pt idx="10">
                  <c:v>1.3999999999999999E-4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F5-4F93-93EF-01871DA86104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U''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Sheet1!$E$2:$E$12</c:f>
              <c:numCache>
                <c:formatCode>General</c:formatCode>
                <c:ptCount val="11"/>
                <c:pt idx="0">
                  <c:v>2</c:v>
                </c:pt>
                <c:pt idx="1">
                  <c:v>2.4771212547196626</c:v>
                </c:pt>
                <c:pt idx="2">
                  <c:v>3</c:v>
                </c:pt>
                <c:pt idx="3">
                  <c:v>3.4771212547196626</c:v>
                </c:pt>
                <c:pt idx="4">
                  <c:v>4</c:v>
                </c:pt>
                <c:pt idx="5">
                  <c:v>4.4771212547196626</c:v>
                </c:pt>
                <c:pt idx="6">
                  <c:v>5</c:v>
                </c:pt>
                <c:pt idx="7">
                  <c:v>5.4771212547196626</c:v>
                </c:pt>
                <c:pt idx="8">
                  <c:v>6</c:v>
                </c:pt>
                <c:pt idx="9">
                  <c:v>6.4771212547196626</c:v>
                </c:pt>
                <c:pt idx="10">
                  <c:v>7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1.758</c:v>
                </c:pt>
                <c:pt idx="1">
                  <c:v>1.7589999999999999</c:v>
                </c:pt>
                <c:pt idx="2">
                  <c:v>1.764</c:v>
                </c:pt>
                <c:pt idx="3">
                  <c:v>1.756</c:v>
                </c:pt>
                <c:pt idx="4">
                  <c:v>1.756</c:v>
                </c:pt>
                <c:pt idx="5">
                  <c:v>1.7589999999999999</c:v>
                </c:pt>
                <c:pt idx="6">
                  <c:v>1.7929999999999999</c:v>
                </c:pt>
                <c:pt idx="7">
                  <c:v>1.841</c:v>
                </c:pt>
                <c:pt idx="8">
                  <c:v>1.861</c:v>
                </c:pt>
                <c:pt idx="9">
                  <c:v>1.8720000000000001</c:v>
                </c:pt>
                <c:pt idx="10">
                  <c:v>1.7509999999999999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F5-4F93-93EF-01871DA86104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Ueff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Sheet1!$E$2:$E$12</c:f>
              <c:numCache>
                <c:formatCode>General</c:formatCode>
                <c:ptCount val="11"/>
                <c:pt idx="0">
                  <c:v>2</c:v>
                </c:pt>
                <c:pt idx="1">
                  <c:v>2.4771212547196626</c:v>
                </c:pt>
                <c:pt idx="2">
                  <c:v>3</c:v>
                </c:pt>
                <c:pt idx="3">
                  <c:v>3.4771212547196626</c:v>
                </c:pt>
                <c:pt idx="4">
                  <c:v>4</c:v>
                </c:pt>
                <c:pt idx="5">
                  <c:v>4.4771212547196626</c:v>
                </c:pt>
                <c:pt idx="6">
                  <c:v>5</c:v>
                </c:pt>
                <c:pt idx="7">
                  <c:v>5.4771212547196626</c:v>
                </c:pt>
                <c:pt idx="8">
                  <c:v>6</c:v>
                </c:pt>
                <c:pt idx="9">
                  <c:v>6.4771212547196626</c:v>
                </c:pt>
                <c:pt idx="10">
                  <c:v>7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1.83</c:v>
                </c:pt>
                <c:pt idx="1">
                  <c:v>1.8380000000000001</c:v>
                </c:pt>
                <c:pt idx="2">
                  <c:v>1.83</c:v>
                </c:pt>
                <c:pt idx="3">
                  <c:v>1.83</c:v>
                </c:pt>
                <c:pt idx="4">
                  <c:v>1.83</c:v>
                </c:pt>
                <c:pt idx="5">
                  <c:v>1.83</c:v>
                </c:pt>
                <c:pt idx="6">
                  <c:v>1.83</c:v>
                </c:pt>
                <c:pt idx="7">
                  <c:v>1.83</c:v>
                </c:pt>
                <c:pt idx="8">
                  <c:v>1.83</c:v>
                </c:pt>
                <c:pt idx="9">
                  <c:v>1.8380000000000001</c:v>
                </c:pt>
                <c:pt idx="10">
                  <c:v>1.556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F5-4F93-93EF-01871DA86104}"/>
            </c:ext>
          </c:extLst>
        </c:ser>
        <c:ser>
          <c:idx val="4"/>
          <c:order val="4"/>
          <c:tx>
            <c:strRef>
              <c:f>Sheet1!$F$1:$F$12</c:f>
              <c:strCache>
                <c:ptCount val="12"/>
                <c:pt idx="0">
                  <c:v>带宽的电压</c:v>
                </c:pt>
                <c:pt idx="1">
                  <c:v>1.242906</c:v>
                </c:pt>
                <c:pt idx="2">
                  <c:v>1.243613</c:v>
                </c:pt>
                <c:pt idx="3">
                  <c:v>1.247148</c:v>
                </c:pt>
                <c:pt idx="4">
                  <c:v>1.241492</c:v>
                </c:pt>
                <c:pt idx="5">
                  <c:v>1.241492</c:v>
                </c:pt>
                <c:pt idx="6">
                  <c:v>1.243613</c:v>
                </c:pt>
                <c:pt idx="7">
                  <c:v>1.267651</c:v>
                </c:pt>
                <c:pt idx="8">
                  <c:v>1.301587</c:v>
                </c:pt>
                <c:pt idx="9">
                  <c:v>1.315727</c:v>
                </c:pt>
                <c:pt idx="10">
                  <c:v>1.323504</c:v>
                </c:pt>
                <c:pt idx="11">
                  <c:v>1.237957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Sheet1!$F$2:$F$12</c:f>
              <c:numCache>
                <c:formatCode>General</c:formatCode>
                <c:ptCount val="11"/>
                <c:pt idx="0">
                  <c:v>1.2429059999999998</c:v>
                </c:pt>
                <c:pt idx="1">
                  <c:v>1.2436129999999999</c:v>
                </c:pt>
                <c:pt idx="2">
                  <c:v>1.2471479999999999</c:v>
                </c:pt>
                <c:pt idx="3">
                  <c:v>1.241492</c:v>
                </c:pt>
                <c:pt idx="4">
                  <c:v>1.241492</c:v>
                </c:pt>
                <c:pt idx="5">
                  <c:v>1.2436129999999999</c:v>
                </c:pt>
                <c:pt idx="6">
                  <c:v>1.2676509999999999</c:v>
                </c:pt>
                <c:pt idx="7">
                  <c:v>1.3015869999999998</c:v>
                </c:pt>
                <c:pt idx="8">
                  <c:v>1.3157269999999999</c:v>
                </c:pt>
                <c:pt idx="9">
                  <c:v>1.323504</c:v>
                </c:pt>
                <c:pt idx="10">
                  <c:v>1.2379569999999998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AD-421F-A289-CC4BE41FDA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46810800"/>
        <c:axId val="18468095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频率（Hz）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Sheet1!$E$2:$E$12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2.4771212547196626</c:v>
                      </c:pt>
                      <c:pt idx="2">
                        <c:v>3</c:v>
                      </c:pt>
                      <c:pt idx="3">
                        <c:v>3.4771212547196626</c:v>
                      </c:pt>
                      <c:pt idx="4">
                        <c:v>4</c:v>
                      </c:pt>
                      <c:pt idx="5">
                        <c:v>4.4771212547196626</c:v>
                      </c:pt>
                      <c:pt idx="6">
                        <c:v>5</c:v>
                      </c:pt>
                      <c:pt idx="7">
                        <c:v>5.4771212547196626</c:v>
                      </c:pt>
                      <c:pt idx="8">
                        <c:v>6</c:v>
                      </c:pt>
                      <c:pt idx="9">
                        <c:v>6.4771212547196626</c:v>
                      </c:pt>
                      <c:pt idx="10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100</c:v>
                      </c:pt>
                      <c:pt idx="1">
                        <c:v>300</c:v>
                      </c:pt>
                      <c:pt idx="2">
                        <c:v>1000</c:v>
                      </c:pt>
                      <c:pt idx="3">
                        <c:v>3000</c:v>
                      </c:pt>
                      <c:pt idx="4">
                        <c:v>10000</c:v>
                      </c:pt>
                      <c:pt idx="5">
                        <c:v>30000</c:v>
                      </c:pt>
                      <c:pt idx="6">
                        <c:v>100000</c:v>
                      </c:pt>
                      <c:pt idx="7">
                        <c:v>300000</c:v>
                      </c:pt>
                      <c:pt idx="8">
                        <c:v>1000000</c:v>
                      </c:pt>
                      <c:pt idx="9">
                        <c:v>3000000</c:v>
                      </c:pt>
                      <c:pt idx="10">
                        <c:v>10000000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CF5-4F93-93EF-01871DA86104}"/>
                  </c:ext>
                </c:extLst>
              </c15:ser>
            </c15:filteredLineSeries>
          </c:ext>
        </c:extLst>
      </c:lineChart>
      <c:catAx>
        <c:axId val="184681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横轴：</a:t>
                </a:r>
                <a:r>
                  <a:rPr lang="en-US" altLang="zh-CN"/>
                  <a:t>lg</a:t>
                </a:r>
                <a:r>
                  <a:rPr lang="zh-CN" altLang="en-US"/>
                  <a:t>（</a:t>
                </a:r>
                <a:r>
                  <a:rPr lang="en-US" altLang="zh-CN"/>
                  <a:t>f</a:t>
                </a:r>
                <a:r>
                  <a:rPr lang="zh-CN" altLang="en-US"/>
                  <a:t>）</a:t>
                </a:r>
                <a:r>
                  <a:rPr lang="en-US" altLang="zh-CN"/>
                  <a:t>Hz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7.5284292230186789E-2"/>
              <c:y val="0.69997547661516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6809552"/>
        <c:crosses val="autoZero"/>
        <c:auto val="1"/>
        <c:lblAlgn val="ctr"/>
        <c:lblOffset val="100"/>
        <c:noMultiLvlLbl val="0"/>
      </c:catAx>
      <c:valAx>
        <c:axId val="184680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纵轴：</a:t>
                </a:r>
                <a:r>
                  <a:rPr lang="en-US" altLang="zh-CN"/>
                  <a:t>U</a:t>
                </a:r>
                <a:r>
                  <a:rPr lang="zh-CN" altLang="en-US"/>
                  <a:t>（</a:t>
                </a:r>
                <a:r>
                  <a:rPr lang="en-US" altLang="zh-CN"/>
                  <a:t>V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681080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863459201071988E-2"/>
          <c:y val="0.7420135020568317"/>
          <c:w val="0.79681990512676248"/>
          <c:h val="0.20514619070088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210732</xdr:colOff>
      <xdr:row>8</xdr:row>
      <xdr:rowOff>81718</xdr:rowOff>
    </xdr:from>
    <xdr:to>
      <xdr:col>17</xdr:col>
      <xdr:colOff>346316</xdr:colOff>
      <xdr:row>32</xdr:row>
      <xdr:rowOff>5518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69B5784-4B16-4073-B03E-1A9A95F3F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D8" zoomScale="145" zoomScaleNormal="145" workbookViewId="0">
      <selection activeCell="F1" sqref="F1"/>
    </sheetView>
  </sheetViews>
  <sheetFormatPr defaultRowHeight="13.8" x14ac:dyDescent="0.25"/>
  <cols>
    <col min="1" max="1" width="9.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1.768</v>
      </c>
      <c r="C2">
        <v>1.758</v>
      </c>
      <c r="D2">
        <v>1.83</v>
      </c>
      <c r="E2">
        <f>LOG10(A2)</f>
        <v>2</v>
      </c>
      <c r="F2">
        <f>0.707*C2</f>
        <v>1.2429059999999998</v>
      </c>
    </row>
    <row r="3" spans="1:6" x14ac:dyDescent="0.25">
      <c r="A3">
        <v>300</v>
      </c>
      <c r="B3">
        <v>1.768</v>
      </c>
      <c r="C3">
        <v>1.7589999999999999</v>
      </c>
      <c r="D3">
        <v>1.8380000000000001</v>
      </c>
      <c r="E3">
        <f t="shared" ref="E3:E12" si="0">LOG10(A3)</f>
        <v>2.4771212547196626</v>
      </c>
      <c r="F3">
        <f t="shared" ref="F3:F12" si="1">0.707*C3</f>
        <v>1.2436129999999999</v>
      </c>
    </row>
    <row r="4" spans="1:6" x14ac:dyDescent="0.25">
      <c r="A4">
        <v>1000</v>
      </c>
      <c r="B4">
        <v>1.768</v>
      </c>
      <c r="C4">
        <v>1.764</v>
      </c>
      <c r="D4">
        <v>1.83</v>
      </c>
      <c r="E4">
        <f t="shared" si="0"/>
        <v>3</v>
      </c>
      <c r="F4">
        <f t="shared" si="1"/>
        <v>1.2471479999999999</v>
      </c>
    </row>
    <row r="5" spans="1:6" x14ac:dyDescent="0.25">
      <c r="A5">
        <v>3000</v>
      </c>
      <c r="B5">
        <v>1.766</v>
      </c>
      <c r="C5">
        <v>1.756</v>
      </c>
      <c r="D5">
        <v>1.83</v>
      </c>
      <c r="E5">
        <f t="shared" si="0"/>
        <v>3.4771212547196626</v>
      </c>
      <c r="F5">
        <f t="shared" si="1"/>
        <v>1.241492</v>
      </c>
    </row>
    <row r="6" spans="1:6" x14ac:dyDescent="0.25">
      <c r="A6">
        <v>10000</v>
      </c>
      <c r="B6">
        <v>1.768</v>
      </c>
      <c r="C6">
        <v>1.756</v>
      </c>
      <c r="D6">
        <v>1.83</v>
      </c>
      <c r="E6">
        <f t="shared" si="0"/>
        <v>4</v>
      </c>
      <c r="F6">
        <f t="shared" si="1"/>
        <v>1.241492</v>
      </c>
    </row>
    <row r="7" spans="1:6" x14ac:dyDescent="0.25">
      <c r="A7">
        <v>30000</v>
      </c>
      <c r="B7">
        <v>1.7709999999999999</v>
      </c>
      <c r="C7">
        <v>1.7589999999999999</v>
      </c>
      <c r="D7">
        <v>1.83</v>
      </c>
      <c r="E7">
        <f t="shared" si="0"/>
        <v>4.4771212547196626</v>
      </c>
      <c r="F7">
        <f t="shared" si="1"/>
        <v>1.2436129999999999</v>
      </c>
    </row>
    <row r="8" spans="1:6" x14ac:dyDescent="0.25">
      <c r="A8">
        <v>100000</v>
      </c>
      <c r="B8">
        <v>1.788</v>
      </c>
      <c r="C8">
        <v>1.7929999999999999</v>
      </c>
      <c r="D8">
        <v>1.83</v>
      </c>
      <c r="E8">
        <f t="shared" si="0"/>
        <v>5</v>
      </c>
      <c r="F8">
        <f t="shared" si="1"/>
        <v>1.2676509999999999</v>
      </c>
    </row>
    <row r="9" spans="1:6" x14ac:dyDescent="0.25">
      <c r="A9">
        <v>300000</v>
      </c>
      <c r="B9">
        <v>1.772</v>
      </c>
      <c r="C9">
        <v>1.841</v>
      </c>
      <c r="D9">
        <v>1.83</v>
      </c>
      <c r="E9">
        <f t="shared" si="0"/>
        <v>5.4771212547196626</v>
      </c>
      <c r="F9">
        <f t="shared" si="1"/>
        <v>1.3015869999999998</v>
      </c>
    </row>
    <row r="10" spans="1:6" x14ac:dyDescent="0.25">
      <c r="A10">
        <v>1000000</v>
      </c>
      <c r="B10">
        <v>1.244</v>
      </c>
      <c r="C10">
        <v>1.861</v>
      </c>
      <c r="D10">
        <v>1.83</v>
      </c>
      <c r="E10">
        <f t="shared" si="0"/>
        <v>6</v>
      </c>
      <c r="F10">
        <f t="shared" si="1"/>
        <v>1.3157269999999999</v>
      </c>
    </row>
    <row r="11" spans="1:6" x14ac:dyDescent="0.25">
      <c r="A11">
        <v>3000000</v>
      </c>
      <c r="B11">
        <v>0.29399999999999998</v>
      </c>
      <c r="C11">
        <v>1.8720000000000001</v>
      </c>
      <c r="D11">
        <v>1.8380000000000001</v>
      </c>
      <c r="E11">
        <f t="shared" si="0"/>
        <v>6.4771212547196626</v>
      </c>
      <c r="F11">
        <f t="shared" si="1"/>
        <v>1.323504</v>
      </c>
    </row>
    <row r="12" spans="1:6" x14ac:dyDescent="0.25">
      <c r="A12">
        <v>10000000</v>
      </c>
      <c r="B12">
        <v>1.3999999999999999E-4</v>
      </c>
      <c r="C12">
        <v>1.7509999999999999</v>
      </c>
      <c r="D12">
        <v>1.556</v>
      </c>
      <c r="E12">
        <f t="shared" si="0"/>
        <v>7</v>
      </c>
      <c r="F12">
        <f t="shared" si="1"/>
        <v>1.2379569999999998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2015-06-05T18:19:34Z</dcterms:created>
  <dcterms:modified xsi:type="dcterms:W3CDTF">2022-03-10T15:37:26Z</dcterms:modified>
</cp:coreProperties>
</file>