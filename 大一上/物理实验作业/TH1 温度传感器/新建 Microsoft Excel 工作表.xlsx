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5B90294D-4C9A-4BE3-AAC9-C105AD06B680}" xr6:coauthVersionLast="47" xr6:coauthVersionMax="47" xr10:uidLastSave="{00000000-0000-0000-0000-000000000000}"/>
  <bookViews>
    <workbookView minimized="1" xWindow="1920" yWindow="1920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" i="1" l="1"/>
  <c r="O12" i="1"/>
  <c r="C11" i="1"/>
  <c r="B11" i="1"/>
  <c r="D3" i="1"/>
  <c r="D4" i="1"/>
  <c r="D5" i="1"/>
  <c r="D6" i="1"/>
  <c r="D7" i="1"/>
  <c r="D8" i="1"/>
  <c r="A11" i="1"/>
  <c r="B9" i="1"/>
  <c r="A9" i="1"/>
  <c r="C2" i="1"/>
  <c r="C3" i="1"/>
  <c r="C4" i="1"/>
  <c r="C5" i="1"/>
  <c r="C6" i="1"/>
  <c r="C7" i="1"/>
  <c r="C8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减小质量时输出电压与砝码质量的关系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Sheet1!$A$1:$A$8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Sheet1!$B$1:$B$8</c:f>
              <c:numCache>
                <c:formatCode>General</c:formatCode>
                <c:ptCount val="8"/>
                <c:pt idx="0">
                  <c:v>37.119999999999997</c:v>
                </c:pt>
                <c:pt idx="1">
                  <c:v>43.21</c:v>
                </c:pt>
                <c:pt idx="2">
                  <c:v>49.31</c:v>
                </c:pt>
                <c:pt idx="3">
                  <c:v>55.43</c:v>
                </c:pt>
                <c:pt idx="4">
                  <c:v>61.57</c:v>
                </c:pt>
                <c:pt idx="5">
                  <c:v>67.680000000000007</c:v>
                </c:pt>
                <c:pt idx="6">
                  <c:v>73.81</c:v>
                </c:pt>
                <c:pt idx="7">
                  <c:v>79.930000000000007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4-44EF-B7F2-5966F8BD9B0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49800271"/>
        <c:axId val="449795279"/>
      </c:scatterChart>
      <c:valAx>
        <c:axId val="44980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砝码质量</a:t>
                </a:r>
                <a:r>
                  <a:rPr lang="en-US" altLang="zh-CN"/>
                  <a:t>/g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9795279"/>
        <c:crosses val="autoZero"/>
        <c:crossBetween val="midCat"/>
      </c:valAx>
      <c:valAx>
        <c:axId val="449795279"/>
        <c:scaling>
          <c:orientation val="minMax"/>
          <c:max val="9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</a:t>
                </a:r>
                <a:r>
                  <a:rPr lang="en-US" altLang="zh-CN"/>
                  <a:t>/mV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980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增大质量时输出电压与砝码质量之间的关系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Sheet1!$A$1:$A$8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Sheet1!$B$1:$B$8</c:f>
              <c:numCache>
                <c:formatCode>General</c:formatCode>
                <c:ptCount val="8"/>
                <c:pt idx="0">
                  <c:v>37.119999999999997</c:v>
                </c:pt>
                <c:pt idx="1">
                  <c:v>43.21</c:v>
                </c:pt>
                <c:pt idx="2">
                  <c:v>49.31</c:v>
                </c:pt>
                <c:pt idx="3">
                  <c:v>55.43</c:v>
                </c:pt>
                <c:pt idx="4">
                  <c:v>61.57</c:v>
                </c:pt>
                <c:pt idx="5">
                  <c:v>67.680000000000007</c:v>
                </c:pt>
                <c:pt idx="6">
                  <c:v>73.81</c:v>
                </c:pt>
                <c:pt idx="7">
                  <c:v>79.930000000000007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E-4EB2-A415-DC99A18D3A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05852671"/>
        <c:axId val="605854335"/>
      </c:scatterChart>
      <c:valAx>
        <c:axId val="605852671"/>
        <c:scaling>
          <c:orientation val="minMax"/>
          <c:max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砝码质量</a:t>
                </a:r>
                <a:r>
                  <a:rPr lang="en-US" altLang="zh-CN"/>
                  <a:t>/g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5854335"/>
        <c:crosses val="autoZero"/>
        <c:crossBetween val="midCat"/>
      </c:valAx>
      <c:valAx>
        <c:axId val="60585433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输出电压大小</a:t>
                </a:r>
                <a:r>
                  <a:rPr lang="en-US" altLang="zh-CN"/>
                  <a:t>/mV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585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121920</xdr:rowOff>
    </xdr:from>
    <xdr:to>
      <xdr:col>13</xdr:col>
      <xdr:colOff>91440</xdr:colOff>
      <xdr:row>22</xdr:row>
      <xdr:rowOff>60960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0C83BA0-39E9-079D-E249-966BD547D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45</xdr:row>
      <xdr:rowOff>114300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E7C1514-F217-4B35-8283-E1219F7BE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A13" workbookViewId="0">
      <selection activeCell="C17" sqref="C17"/>
    </sheetView>
  </sheetViews>
  <sheetFormatPr defaultRowHeight="13.8" x14ac:dyDescent="0.25"/>
  <sheetData>
    <row r="1" spans="1:15" x14ac:dyDescent="0.25">
      <c r="A1">
        <v>0</v>
      </c>
      <c r="B1">
        <v>37.119999999999997</v>
      </c>
      <c r="C1">
        <f>A1*B1</f>
        <v>0</v>
      </c>
      <c r="D1">
        <v>0</v>
      </c>
    </row>
    <row r="2" spans="1:15" x14ac:dyDescent="0.25">
      <c r="A2">
        <v>0.5</v>
      </c>
      <c r="B2">
        <v>43.21</v>
      </c>
      <c r="C2">
        <f t="shared" ref="C2:C8" si="0">A2*B2</f>
        <v>21.605</v>
      </c>
      <c r="D2">
        <v>0.25</v>
      </c>
    </row>
    <row r="3" spans="1:15" x14ac:dyDescent="0.25">
      <c r="A3">
        <v>1</v>
      </c>
      <c r="B3">
        <v>49.31</v>
      </c>
      <c r="C3">
        <f t="shared" si="0"/>
        <v>49.31</v>
      </c>
      <c r="D3">
        <f t="shared" ref="D3:D8" si="1">A3*A3</f>
        <v>1</v>
      </c>
    </row>
    <row r="4" spans="1:15" x14ac:dyDescent="0.25">
      <c r="A4">
        <v>1.5</v>
      </c>
      <c r="B4">
        <v>55.43</v>
      </c>
      <c r="C4">
        <f t="shared" si="0"/>
        <v>83.144999999999996</v>
      </c>
      <c r="D4">
        <f t="shared" si="1"/>
        <v>2.25</v>
      </c>
    </row>
    <row r="5" spans="1:15" x14ac:dyDescent="0.25">
      <c r="A5">
        <v>2</v>
      </c>
      <c r="B5">
        <v>61.57</v>
      </c>
      <c r="C5">
        <f t="shared" si="0"/>
        <v>123.14</v>
      </c>
      <c r="D5">
        <f t="shared" si="1"/>
        <v>4</v>
      </c>
    </row>
    <row r="6" spans="1:15" x14ac:dyDescent="0.25">
      <c r="A6">
        <v>2.5</v>
      </c>
      <c r="B6">
        <v>67.680000000000007</v>
      </c>
      <c r="C6">
        <f t="shared" si="0"/>
        <v>169.20000000000002</v>
      </c>
      <c r="D6">
        <f t="shared" si="1"/>
        <v>6.25</v>
      </c>
    </row>
    <row r="7" spans="1:15" x14ac:dyDescent="0.25">
      <c r="A7">
        <v>3</v>
      </c>
      <c r="B7">
        <v>73.81</v>
      </c>
      <c r="C7">
        <f t="shared" si="0"/>
        <v>221.43</v>
      </c>
      <c r="D7">
        <f t="shared" si="1"/>
        <v>9</v>
      </c>
    </row>
    <row r="8" spans="1:15" x14ac:dyDescent="0.25">
      <c r="A8">
        <v>3.5</v>
      </c>
      <c r="B8">
        <v>79.930000000000007</v>
      </c>
      <c r="C8">
        <f t="shared" si="0"/>
        <v>279.755</v>
      </c>
      <c r="D8">
        <f t="shared" si="1"/>
        <v>12.25</v>
      </c>
    </row>
    <row r="9" spans="1:15" x14ac:dyDescent="0.25">
      <c r="A9">
        <f>AVERAGE(A1:A8)</f>
        <v>1.75</v>
      </c>
      <c r="B9">
        <f>AVERAGE(B1:B8)</f>
        <v>58.5075</v>
      </c>
    </row>
    <row r="11" spans="1:15" x14ac:dyDescent="0.25">
      <c r="A11">
        <f>SUM(C1:C8)-8*A9*B9</f>
        <v>128.4799999999999</v>
      </c>
      <c r="B11">
        <f>SUM(D1:D8)-8*1.75*1.75</f>
        <v>10.5</v>
      </c>
      <c r="C11">
        <f>58.5075-12.848*1.75</f>
        <v>36.023499999999999</v>
      </c>
    </row>
    <row r="12" spans="1:15" x14ac:dyDescent="0.25">
      <c r="O12">
        <f>12.828/9.7883</f>
        <v>1.3105442211619995</v>
      </c>
    </row>
    <row r="17" spans="1:3" x14ac:dyDescent="0.25">
      <c r="A17">
        <v>35.04</v>
      </c>
      <c r="B17">
        <v>35.020000000000003</v>
      </c>
      <c r="C17">
        <f>SQRT((A17))</f>
        <v>5.9194594347794967</v>
      </c>
    </row>
    <row r="18" spans="1:3" x14ac:dyDescent="0.25">
      <c r="A18">
        <v>35</v>
      </c>
    </row>
    <row r="19" spans="1:3" x14ac:dyDescent="0.25">
      <c r="A19">
        <v>35.06</v>
      </c>
    </row>
    <row r="20" spans="1:3" x14ac:dyDescent="0.25">
      <c r="A20">
        <v>35</v>
      </c>
    </row>
    <row r="21" spans="1:3" x14ac:dyDescent="0.25">
      <c r="A21">
        <v>35.020000000000003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2015-06-05T18:19:34Z</dcterms:created>
  <dcterms:modified xsi:type="dcterms:W3CDTF">2022-05-11T05:21:44Z</dcterms:modified>
</cp:coreProperties>
</file>